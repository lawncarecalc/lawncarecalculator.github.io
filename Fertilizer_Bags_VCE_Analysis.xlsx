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9 bags" sheetId="1" state="visible" r:id="rId3"/>
    <sheet name="WIN + slow" sheetId="2" state="visible" r:id="rId4"/>
    <sheet name="Sources" sheetId="3" state="visible" r:id="rId5"/>
    <sheet name="Slide exampl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<sst xmlns="http://schemas.openxmlformats.org/spreadsheetml/2006/main" count="168" uniqueCount="125">
  <si>
    <t xml:space="preserve">Fertilizer bag labels: what counts toward VCE's lawn nitrogen programs</t>
  </si>
  <si>
    <t xml:space="preserve">19 retail bags: 15 photographed Sept 23, 2026 (brands withheld) and 4 added from a local distributor's in-stock listing (no photo ID). Blue = read off the bag; black = formulas.</t>
  </si>
  <si>
    <t xml:space="preserve">Program 2 starts at (slow share of total N)</t>
  </si>
  <si>
    <t xml:space="preserve">VCE CSES-135P: 15–49% = Program 2</t>
  </si>
  <si>
    <t xml:space="preserve">Program 3 starts at (slow share of total N)</t>
  </si>
  <si>
    <t xml:space="preserve">VCE CSES-135P: 50% or more = Program 3</t>
  </si>
  <si>
    <t xml:space="preserve">Photo ID</t>
  </si>
  <si>
    <t xml:space="preserve">Grade
(N-P-K)</t>
  </si>
  <si>
    <t xml:space="preserve">Total N
(% of bag)</t>
  </si>
  <si>
    <t xml:space="preserve">Word used in footnote</t>
  </si>
  <si>
    <t xml:space="preserve">What the slow-release N comes from</t>
  </si>
  <si>
    <t xml:space="preserve">Footnote figure
(% of bag; for methylene urea = slowly available N)</t>
  </si>
  <si>
    <t xml:space="preserve">'Water Insoluble N' line
(% of bag)</t>
  </si>
  <si>
    <t xml:space="preserve">Counts under VCE rule
(% of bag; methylene urea = WIN + slowly available)</t>
  </si>
  <si>
    <t xml:space="preserve">Slow share of total N
(VCE rule)</t>
  </si>
  <si>
    <t xml:space="preserve">Program
(VCE rule)</t>
  </si>
  <si>
    <t xml:space="preserve">Program if the footnote word alone were trusted</t>
  </si>
  <si>
    <t xml:space="preserve">Note</t>
  </si>
  <si>
    <t xml:space="preserve">IMG_8558</t>
  </si>
  <si>
    <t xml:space="preserve">12-18-8</t>
  </si>
  <si>
    <t xml:space="preserve">Controlled release</t>
  </si>
  <si>
    <t xml:space="preserve">Polymer-coated urea</t>
  </si>
  <si>
    <t xml:space="preserve">IMG_8559</t>
  </si>
  <si>
    <t xml:space="preserve">18-8-12</t>
  </si>
  <si>
    <t xml:space="preserve">None</t>
  </si>
  <si>
    <t xml:space="preserve">No footnote on the bag.</t>
  </si>
  <si>
    <t xml:space="preserve">IMG_8560</t>
  </si>
  <si>
    <t xml:space="preserve">14-24-12</t>
  </si>
  <si>
    <t xml:space="preserve">Slowly available</t>
  </si>
  <si>
    <t xml:space="preserve">Stabilized urea</t>
  </si>
  <si>
    <t xml:space="preserve">Says 'slowly available' but the source is stabilized urea.</t>
  </si>
  <si>
    <t xml:space="preserve">IMG_8561</t>
  </si>
  <si>
    <t xml:space="preserve">32-8-5</t>
  </si>
  <si>
    <t xml:space="preserve">Stabilized</t>
  </si>
  <si>
    <t xml:space="preserve">Dicyandiamide + NBPT.</t>
  </si>
  <si>
    <t xml:space="preserve">IMG_8562</t>
  </si>
  <si>
    <t xml:space="preserve">24-0-10</t>
  </si>
  <si>
    <t xml:space="preserve">IMG_8564</t>
  </si>
  <si>
    <t xml:space="preserve">46-0-0</t>
  </si>
  <si>
    <t xml:space="preserve">Plain urea.</t>
  </si>
  <si>
    <t xml:space="preserve">IMG_8565</t>
  </si>
  <si>
    <t xml:space="preserve">21-0-3</t>
  </si>
  <si>
    <t xml:space="preserve">IMG_8571</t>
  </si>
  <si>
    <t xml:space="preserve">32-0-10</t>
  </si>
  <si>
    <t xml:space="preserve">Methylene urea</t>
  </si>
  <si>
    <t xml:space="preserve">Label: 6.8% slowly available N from methylene ureas, plus a separate 0.5% WIN line. Both count (VT slide).</t>
  </si>
  <si>
    <t xml:space="preserve">IMG_8572</t>
  </si>
  <si>
    <t xml:space="preserve">26-0-2</t>
  </si>
  <si>
    <t xml:space="preserve">Label: 8.2% slowly available N from methylene ureas, plus a separate 0.9% WIN line. Both count.</t>
  </si>
  <si>
    <t xml:space="preserve">IMG_8574</t>
  </si>
  <si>
    <t xml:space="preserve">18-24-6</t>
  </si>
  <si>
    <t xml:space="preserve">Slow release</t>
  </si>
  <si>
    <t xml:space="preserve">IMG_8580</t>
  </si>
  <si>
    <t xml:space="preserve">24-25-4</t>
  </si>
  <si>
    <t xml:space="preserve">Label: 6.2% slowly available N from methylene ureas, plus a separate 0.6% WIN line. Both count.</t>
  </si>
  <si>
    <t xml:space="preserve">IMG_8586</t>
  </si>
  <si>
    <t xml:space="preserve">40-0-5</t>
  </si>
  <si>
    <t xml:space="preserve">Highest slow share in the set.</t>
  </si>
  <si>
    <t xml:space="preserve">IMG_8590</t>
  </si>
  <si>
    <t xml:space="preserve">21-22-4</t>
  </si>
  <si>
    <t xml:space="preserve">Label: 5.6% slowly available N from methylene ureas, plus a separate 0.6% WIN line. Both count.</t>
  </si>
  <si>
    <t xml:space="preserve">IMG_8593</t>
  </si>
  <si>
    <t xml:space="preserve">30-0-4</t>
  </si>
  <si>
    <t xml:space="preserve">IMG_8594</t>
  </si>
  <si>
    <t xml:space="preserve">—</t>
  </si>
  <si>
    <t xml:space="preserve">18-0-3</t>
  </si>
  <si>
    <t xml:space="preserve">Added from a local distributor's in-stock listing; no photo ID.</t>
  </si>
  <si>
    <t xml:space="preserve">18-24-12</t>
  </si>
  <si>
    <t xml:space="preserve">Also stabilized with dicyandiamide; the coated urea is what counts. No photo ID.</t>
  </si>
  <si>
    <t xml:space="preserve">14-14-14</t>
  </si>
  <si>
    <t xml:space="preserve">Summary</t>
  </si>
  <si>
    <t xml:space="preserve">Bags counted in Program 1 under the corrected VCE rule</t>
  </si>
  <si>
    <t xml:space="preserve">Bags counted in Program 2</t>
  </si>
  <si>
    <t xml:space="preserve">Bags counted in Program 3</t>
  </si>
  <si>
    <t xml:space="preserve">Bags where trusting the footnote word alone gives a different program (shaded red)</t>
  </si>
  <si>
    <t xml:space="preserve">How the VCE rule is applied here</t>
  </si>
  <si>
    <t xml:space="preserve">1. Coated urea (polymer or sulfur) counts at the footnote figure. VCE lists polymer-coated urea among slowly available sources and says the bag won't list it as WIN.</t>
  </si>
  <si>
    <t xml:space="preserve">2. Methylene urea / urea-formaldehyde counts as the WIN line PLUS the 'slowly available nitrogen from methylene urea' line. They are separate lines on the label, and the Virginia Tech (Goatley) slide adds them: 5.6% WIN + 5.7% slowly available = 11.3%, 11.3 ÷ 32 = 35.3%. (Earlier versions of this sheet counted WIN only, which put all four methylene urea bags in Program 1.)</t>
  </si>
  <si>
    <t xml:space="preserve">3. Stabilized urea (dicyandiamide, NBPT) does not count. It is not on VCE's list of slowly available sources, and Penn State Extension states such products are not slow-release.</t>
  </si>
  <si>
    <t xml:space="preserve">4. If nothing slow-release is listed, VCE says to assume the nitrogen is quickly available (Program 1).</t>
  </si>
  <si>
    <t xml:space="preserve">5. Slow share = counted figure ÷ total N. Figures on the bag are percent of product weight, so the division is required. Thresholds are VCE's: 15–49% Program 2, 50% or more Program 3.</t>
  </si>
  <si>
    <t xml:space="preserve">6. Figures were read from glare-affected photos; the 21-0-3 bag was confirmed as 6.3% by the photographer.</t>
  </si>
  <si>
    <t xml:space="preserve">Methylene urea bags: Water Insoluble Nitrogen (WIN) + slowly available nitrogen</t>
  </si>
  <si>
    <t xml:space="preserve">Each bag lists two separate lines. VCE counts both: WIN + slowly available, then divides by total N. Values pull from the "19 bags" sheet.</t>
  </si>
  <si>
    <t xml:space="preserve">Grade</t>
  </si>
  <si>
    <t xml:space="preserve">Total N (% of bag)</t>
  </si>
  <si>
    <t xml:space="preserve">WIN line (% of bag)</t>
  </si>
  <si>
    <t xml:space="preserve">Slowly available from methylene urea (% of bag)</t>
  </si>
  <si>
    <t xml:space="preserve">WIN + slowly available (% of bag)</t>
  </si>
  <si>
    <t xml:space="preserve">Share of total N</t>
  </si>
  <si>
    <t xml:space="preserve">Program</t>
  </si>
  <si>
    <t xml:space="preserve">Old rule: WIN only (share)</t>
  </si>
  <si>
    <t xml:space="preserve">Old rule program</t>
  </si>
  <si>
    <t xml:space="preserve">Slide check (Goatley, Virginia Tech)</t>
  </si>
  <si>
    <t xml:space="preserve">32-4-4 slide</t>
  </si>
  <si>
    <t xml:space="preserve">Sources for this analysis</t>
  </si>
  <si>
    <t xml:space="preserve">Source</t>
  </si>
  <si>
    <t xml:space="preserve">What it was used for</t>
  </si>
  <si>
    <t xml:space="preserve">Where</t>
  </si>
  <si>
    <t xml:space="preserve">Virginia Cooperative Extension, Lawn Fertilization in Virginia (CSES-135P; Goatley, Cataldi, Chalmers, Hall, Schmidt; 2015)</t>
  </si>
  <si>
    <t xml:space="preserve">Program thresholds (&lt;15%, 15–49%, 50%+); WIN calculation; methylene urea counted as WIN; coated urea counted as slowly available; no WIN listed = quickly available; list of slowly available sources</t>
  </si>
  <si>
    <t xml:space="preserve">ext.vt.edu (also published as VCE 430-011)</t>
  </si>
  <si>
    <t xml:space="preserve">Penn State Extension, Turfgrass Fertilization: A Basic Guide for Professional Turfgrass Managers (P. Landschoot, updated 2016)</t>
  </si>
  <si>
    <t xml:space="preserve">WIN / slowly available / controlled-release are label names for slow-release N; stabilized urea is quick-release; some urea-formaldehyde products behave like urea</t>
  </si>
  <si>
    <t xml:space="preserve">extension.psu.edu</t>
  </si>
  <si>
    <t xml:space="preserve">Penn State Extension, Enhanced Efficiency Nitrogen Fertilizers for Turfgrasses (P. Landschoot, 2025)</t>
  </si>
  <si>
    <t xml:space="preserve">Release mechanisms of polymer-coated vs. other products; inhibitors are not slow-release</t>
  </si>
  <si>
    <t xml:space="preserve">Virginia DCR Nutrient Management Standards and Criteria (2014), as summarized in VCE CSES-135P</t>
  </si>
  <si>
    <t xml:space="preserve">Slowly available source = at least 15% slow-release nitrogen</t>
  </si>
  <si>
    <t xml:space="preserve">Cited through the VCE publication</t>
  </si>
  <si>
    <t xml:space="preserve">Goatley, M., Jr. The Primary Fertilizer Sources and Use Characteristics in Turfgrass Fertility Programs (slide presentation, Virginia Tech Extension; undated, c. 2012; PDF created Nov. 2012)</t>
  </si>
  <si>
    <t xml:space="preserve">Methylene urea counts as WIN plus the slowly available line (32-4-4 example = 35.3%); stabilized N is handled as water-soluble; 1.5 lb N single-application limit at 50%+ slow-release, 1.0 lb below</t>
  </si>
  <si>
    <t xml:space="preserve">Virginia DCR: https://dcr.am.virginia.gov/soil-and-water/document/nmtmscpfs.pdf</t>
  </si>
  <si>
    <t xml:space="preserve">Virginia Nutrient Management Training and Certification Regulations, 4 VAC 5-15 (as quoted in the slide deck)</t>
  </si>
  <si>
    <t xml:space="preserve">Definition of slowly available nitrogen: polymer-coated products, methylene urea, IBDU, urea formaldehyde based, sulfur-coated urea, natural organics</t>
  </si>
  <si>
    <t xml:space="preserve">Cited through the Goatley slide deck (above)</t>
  </si>
  <si>
    <t xml:space="preserve">Worked examples from the Virginia Tech slides</t>
  </si>
  <si>
    <t xml:space="preserve">Example</t>
  </si>
  <si>
    <t xml:space="preserve">Slowly available N (% of bag)</t>
  </si>
  <si>
    <t xml:space="preserve">Total slow-release (% of bag)</t>
  </si>
  <si>
    <t xml:space="preserve">Slow share of total N</t>
  </si>
  <si>
    <t xml:space="preserve">Max single application (lb N/1,000 sq ft)</t>
  </si>
  <si>
    <t xml:space="preserve">32-4-4 bag: WIN + methylene urea slowly available</t>
  </si>
  <si>
    <t xml:space="preserve">Bag with 9% slowly available N on 18% total N</t>
  </si>
  <si>
    <t xml:space="preserve">Source: Goatley, M., Jr. The Primary Fertilizer Sources and Use Characteristics in Turfgrass Fertility Programs (slide presentation, Virginia Tech Extension; undated, c. 2012; PDF created Nov. 2012). Hosted by Virginia DCR: https://dcr.am.virginia.gov/soil-and-water/document/nmtmscpfs.pdf. 1.5 lb applies at 50% or more slow-release; below 50% the limit is 1.0 lb. The 32-4-4 slide states 35.3% and a 1 lb maximum, matching the formulas.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</si>
</sst>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0.0#"/>
    <numFmt numFmtId="167" formatCode="0.0%"/>
    <numFmt numFmtId="168" formatCode="General"/>
    <numFmt numFmtId="169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40404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2C5F3E"/>
        <bgColor rgb="FF2E6B35"/>
      </patternFill>
    </fill>
    <fill>
      <patternFill patternType="solid">
        <fgColor rgb="FF2E6B35"/>
        <bgColor rgb="FF2C5F3E"/>
      </patternFill>
    </fill>
    <fill>
      <patternFill patternType="solid">
        <fgColor rgb="FF2F5233"/>
        <bgColor rgb="FF2C5F3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6B35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2C5F3E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F523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3" min="2" style="1" width="10"/>
    <col collapsed="false" customWidth="true" hidden="false" outlineLevel="0" max="4" min="4" style="1" width="18"/>
    <col collapsed="false" customWidth="true" hidden="false" outlineLevel="0" max="5" min="5" style="1" width="20"/>
    <col collapsed="false" customWidth="true" hidden="false" outlineLevel="0" max="6" min="6" style="1" width="13"/>
    <col collapsed="false" customWidth="true" hidden="false" outlineLevel="0" max="8" min="7" style="1" width="15"/>
    <col collapsed="false" customWidth="true" hidden="false" outlineLevel="0" max="9" min="9" style="1" width="14"/>
    <col collapsed="false" customWidth="true" hidden="false" outlineLevel="0" max="10" min="10" style="1" width="10"/>
    <col collapsed="false" customWidth="true" hidden="false" outlineLevel="0" max="11" min="11" style="1" width="20"/>
    <col collapsed="false" customWidth="true" hidden="false" outlineLevel="0" max="12" min="12" style="1" width="38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H4" s="5" t="n">
        <v>0.15</v>
      </c>
      <c r="I4" s="3" t="s">
        <v>3</v>
      </c>
    </row>
    <row r="5" customFormat="false" ht="15" hidden="false" customHeight="true" outlineLevel="0" collapsed="false">
      <c r="A5" s="4" t="s">
        <v>4</v>
      </c>
      <c r="H5" s="5" t="n">
        <v>0.5</v>
      </c>
      <c r="I5" s="3" t="s">
        <v>5</v>
      </c>
    </row>
    <row r="7" customFormat="false" ht="78" hidden="false" customHeight="true" outlineLevel="0" collapsed="false">
      <c r="A7" s="6" t="s">
        <v>6</v>
      </c>
      <c r="B7" s="6" t="s">
        <v>7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13</v>
      </c>
      <c r="I7" s="6" t="s">
        <v>14</v>
      </c>
      <c r="J7" s="6" t="s">
        <v>15</v>
      </c>
      <c r="K7" s="6" t="s">
        <v>16</v>
      </c>
      <c r="L7" s="6" t="s">
        <v>17</v>
      </c>
    </row>
    <row r="8" customFormat="false" ht="30" hidden="false" customHeight="true" outlineLevel="0" collapsed="false">
      <c r="A8" s="7" t="s">
        <v>18</v>
      </c>
      <c r="B8" s="7" t="s">
        <v>19</v>
      </c>
      <c r="C8" s="8" t="n">
        <v>12</v>
      </c>
      <c r="D8" s="7" t="s">
        <v>20</v>
      </c>
      <c r="E8" s="7" t="s">
        <v>21</v>
      </c>
      <c r="F8" s="8" t="n">
        <v>3</v>
      </c>
      <c r="G8" s="7"/>
      <c r="H8" s="9" t="n">
        <f aca="false">IF(E8="Polymer-coated urea",N(F8),IF(E8="Methylene urea",N(F8)+N(G8),0))</f>
        <v>3</v>
      </c>
      <c r="I8" s="10" t="n">
        <f aca="false">H8/C8</f>
        <v>0.25</v>
      </c>
      <c r="J8" s="11" t="n">
        <f aca="false">IF(I8&gt;=$H$5,3,IF(I8&gt;=$H$4,2,1))</f>
        <v>2</v>
      </c>
      <c r="K8" s="12" t="n">
        <f aca="false">IF(OR(D8="Controlled release",D8="Slowly available",D8="Slow release"),IF(N(F8)/C8&gt;=$H$5,3,IF(N(F8)/C8&gt;=$H$4,2,1)),1)</f>
        <v>2</v>
      </c>
      <c r="L8" s="13"/>
    </row>
    <row r="9" customFormat="false" ht="30" hidden="false" customHeight="true" outlineLevel="0" collapsed="false">
      <c r="A9" s="7" t="s">
        <v>22</v>
      </c>
      <c r="B9" s="7" t="s">
        <v>23</v>
      </c>
      <c r="C9" s="8" t="n">
        <v>18</v>
      </c>
      <c r="D9" s="7" t="s">
        <v>24</v>
      </c>
      <c r="E9" s="7" t="s">
        <v>24</v>
      </c>
      <c r="F9" s="7"/>
      <c r="G9" s="7"/>
      <c r="H9" s="9" t="n">
        <f aca="false">IF(E9="Polymer-coated urea",N(F9),IF(E9="Methylene urea",N(F9)+N(G9),0))</f>
        <v>0</v>
      </c>
      <c r="I9" s="10" t="n">
        <f aca="false">H9/C9</f>
        <v>0</v>
      </c>
      <c r="J9" s="11" t="n">
        <f aca="false">IF(I9&gt;=$H$5,3,IF(I9&gt;=$H$4,2,1))</f>
        <v>1</v>
      </c>
      <c r="K9" s="12" t="n">
        <f aca="false">IF(OR(D9="Controlled release",D9="Slowly available",D9="Slow release"),IF(N(F9)/C9&gt;=$H$5,3,IF(N(F9)/C9&gt;=$H$4,2,1)),1)</f>
        <v>1</v>
      </c>
      <c r="L9" s="13" t="s">
        <v>25</v>
      </c>
    </row>
    <row r="10" customFormat="false" ht="30" hidden="false" customHeight="true" outlineLevel="0" collapsed="false">
      <c r="A10" s="7" t="s">
        <v>26</v>
      </c>
      <c r="B10" s="7" t="s">
        <v>27</v>
      </c>
      <c r="C10" s="8" t="n">
        <v>14</v>
      </c>
      <c r="D10" s="7" t="s">
        <v>28</v>
      </c>
      <c r="E10" s="7" t="s">
        <v>29</v>
      </c>
      <c r="F10" s="8" t="n">
        <v>3.5</v>
      </c>
      <c r="G10" s="7"/>
      <c r="H10" s="9" t="n">
        <f aca="false">IF(E10="Polymer-coated urea",N(F10),IF(E10="Methylene urea",N(F10)+N(G10),0))</f>
        <v>0</v>
      </c>
      <c r="I10" s="10" t="n">
        <f aca="false">H10/C10</f>
        <v>0</v>
      </c>
      <c r="J10" s="11" t="n">
        <f aca="false">IF(I10&gt;=$H$5,3,IF(I10&gt;=$H$4,2,1))</f>
        <v>1</v>
      </c>
      <c r="K10" s="12" t="n">
        <f aca="false">IF(OR(D10="Controlled release",D10="Slowly available",D10="Slow release"),IF(N(F10)/C10&gt;=$H$5,3,IF(N(F10)/C10&gt;=$H$4,2,1)),1)</f>
        <v>2</v>
      </c>
      <c r="L10" s="13" t="s">
        <v>30</v>
      </c>
    </row>
    <row r="11" customFormat="false" ht="30" hidden="false" customHeight="true" outlineLevel="0" collapsed="false">
      <c r="A11" s="7" t="s">
        <v>31</v>
      </c>
      <c r="B11" s="7" t="s">
        <v>32</v>
      </c>
      <c r="C11" s="8" t="n">
        <v>32</v>
      </c>
      <c r="D11" s="7" t="s">
        <v>33</v>
      </c>
      <c r="E11" s="7" t="s">
        <v>29</v>
      </c>
      <c r="F11" s="8" t="n">
        <v>28.9</v>
      </c>
      <c r="G11" s="7"/>
      <c r="H11" s="9" t="n">
        <f aca="false">IF(E11="Polymer-coated urea",N(F11),IF(E11="Methylene urea",N(F11)+N(G11),0))</f>
        <v>0</v>
      </c>
      <c r="I11" s="10" t="n">
        <f aca="false">H11/C11</f>
        <v>0</v>
      </c>
      <c r="J11" s="11" t="n">
        <f aca="false">IF(I11&gt;=$H$5,3,IF(I11&gt;=$H$4,2,1))</f>
        <v>1</v>
      </c>
      <c r="K11" s="12" t="n">
        <f aca="false">IF(OR(D11="Controlled release",D11="Slowly available",D11="Slow release"),IF(N(F11)/C11&gt;=$H$5,3,IF(N(F11)/C11&gt;=$H$4,2,1)),1)</f>
        <v>1</v>
      </c>
      <c r="L11" s="13" t="s">
        <v>34</v>
      </c>
    </row>
    <row r="12" customFormat="false" ht="30" hidden="false" customHeight="true" outlineLevel="0" collapsed="false">
      <c r="A12" s="7" t="s">
        <v>35</v>
      </c>
      <c r="B12" s="7" t="s">
        <v>36</v>
      </c>
      <c r="C12" s="8" t="n">
        <v>24</v>
      </c>
      <c r="D12" s="7" t="s">
        <v>33</v>
      </c>
      <c r="E12" s="7" t="s">
        <v>29</v>
      </c>
      <c r="F12" s="8" t="n">
        <v>7.2</v>
      </c>
      <c r="G12" s="7"/>
      <c r="H12" s="9" t="n">
        <f aca="false">IF(E12="Polymer-coated urea",N(F12),IF(E12="Methylene urea",N(F12)+N(G12),0))</f>
        <v>0</v>
      </c>
      <c r="I12" s="10" t="n">
        <f aca="false">H12/C12</f>
        <v>0</v>
      </c>
      <c r="J12" s="11" t="n">
        <f aca="false">IF(I12&gt;=$H$5,3,IF(I12&gt;=$H$4,2,1))</f>
        <v>1</v>
      </c>
      <c r="K12" s="12" t="n">
        <f aca="false">IF(OR(D12="Controlled release",D12="Slowly available",D12="Slow release"),IF(N(F12)/C12&gt;=$H$5,3,IF(N(F12)/C12&gt;=$H$4,2,1)),1)</f>
        <v>1</v>
      </c>
      <c r="L12" s="13" t="s">
        <v>34</v>
      </c>
    </row>
    <row r="13" customFormat="false" ht="30" hidden="false" customHeight="true" outlineLevel="0" collapsed="false">
      <c r="A13" s="7" t="s">
        <v>37</v>
      </c>
      <c r="B13" s="7" t="s">
        <v>38</v>
      </c>
      <c r="C13" s="8" t="n">
        <v>46</v>
      </c>
      <c r="D13" s="7" t="s">
        <v>24</v>
      </c>
      <c r="E13" s="7" t="s">
        <v>24</v>
      </c>
      <c r="F13" s="7"/>
      <c r="G13" s="7"/>
      <c r="H13" s="9" t="n">
        <f aca="false">IF(E13="Polymer-coated urea",N(F13),IF(E13="Methylene urea",N(F13)+N(G13),0))</f>
        <v>0</v>
      </c>
      <c r="I13" s="10" t="n">
        <f aca="false">H13/C13</f>
        <v>0</v>
      </c>
      <c r="J13" s="11" t="n">
        <f aca="false">IF(I13&gt;=$H$5,3,IF(I13&gt;=$H$4,2,1))</f>
        <v>1</v>
      </c>
      <c r="K13" s="12" t="n">
        <f aca="false">IF(OR(D13="Controlled release",D13="Slowly available",D13="Slow release"),IF(N(F13)/C13&gt;=$H$5,3,IF(N(F13)/C13&gt;=$H$4,2,1)),1)</f>
        <v>1</v>
      </c>
      <c r="L13" s="13" t="s">
        <v>39</v>
      </c>
    </row>
    <row r="14" customFormat="false" ht="30" hidden="false" customHeight="true" outlineLevel="0" collapsed="false">
      <c r="A14" s="7" t="s">
        <v>40</v>
      </c>
      <c r="B14" s="7" t="s">
        <v>41</v>
      </c>
      <c r="C14" s="8" t="n">
        <v>21</v>
      </c>
      <c r="D14" s="7" t="s">
        <v>20</v>
      </c>
      <c r="E14" s="7" t="s">
        <v>21</v>
      </c>
      <c r="F14" s="8" t="n">
        <v>6.3</v>
      </c>
      <c r="G14" s="7"/>
      <c r="H14" s="9" t="n">
        <f aca="false">IF(E14="Polymer-coated urea",N(F14),IF(E14="Methylene urea",N(F14)+N(G14),0))</f>
        <v>6.3</v>
      </c>
      <c r="I14" s="10" t="n">
        <f aca="false">H14/C14</f>
        <v>0.3</v>
      </c>
      <c r="J14" s="11" t="n">
        <f aca="false">IF(I14&gt;=$H$5,3,IF(I14&gt;=$H$4,2,1))</f>
        <v>2</v>
      </c>
      <c r="K14" s="12" t="n">
        <f aca="false">IF(OR(D14="Controlled release",D14="Slowly available",D14="Slow release"),IF(N(F14)/C14&gt;=$H$5,3,IF(N(F14)/C14&gt;=$H$4,2,1)),1)</f>
        <v>2</v>
      </c>
      <c r="L14" s="13"/>
    </row>
    <row r="15" customFormat="false" ht="30" hidden="false" customHeight="true" outlineLevel="0" collapsed="false">
      <c r="A15" s="7" t="s">
        <v>42</v>
      </c>
      <c r="B15" s="7" t="s">
        <v>43</v>
      </c>
      <c r="C15" s="8" t="n">
        <v>32</v>
      </c>
      <c r="D15" s="7" t="s">
        <v>28</v>
      </c>
      <c r="E15" s="7" t="s">
        <v>44</v>
      </c>
      <c r="F15" s="8" t="n">
        <v>6.8</v>
      </c>
      <c r="G15" s="8" t="n">
        <v>0.5</v>
      </c>
      <c r="H15" s="9" t="n">
        <f aca="false">IF(E15="Polymer-coated urea",N(F15),IF(E15="Methylene urea",N(F15)+N(G15),0))</f>
        <v>7.3</v>
      </c>
      <c r="I15" s="10" t="n">
        <f aca="false">H15/C15</f>
        <v>0.228125</v>
      </c>
      <c r="J15" s="11" t="n">
        <f aca="false">IF(I15&gt;=$H$5,3,IF(I15&gt;=$H$4,2,1))</f>
        <v>2</v>
      </c>
      <c r="K15" s="12" t="n">
        <f aca="false">IF(OR(D15="Controlled release",D15="Slowly available",D15="Slow release"),IF(N(F15)/C15&gt;=$H$5,3,IF(N(F15)/C15&gt;=$H$4,2,1)),1)</f>
        <v>2</v>
      </c>
      <c r="L15" s="13" t="s">
        <v>45</v>
      </c>
    </row>
    <row r="16" customFormat="false" ht="30" hidden="false" customHeight="true" outlineLevel="0" collapsed="false">
      <c r="A16" s="7" t="s">
        <v>46</v>
      </c>
      <c r="B16" s="7" t="s">
        <v>47</v>
      </c>
      <c r="C16" s="8" t="n">
        <v>26</v>
      </c>
      <c r="D16" s="7" t="s">
        <v>28</v>
      </c>
      <c r="E16" s="7" t="s">
        <v>44</v>
      </c>
      <c r="F16" s="8" t="n">
        <v>8.2</v>
      </c>
      <c r="G16" s="8" t="n">
        <v>0.9</v>
      </c>
      <c r="H16" s="9" t="n">
        <f aca="false">IF(E16="Polymer-coated urea",N(F16),IF(E16="Methylene urea",N(F16)+N(G16),0))</f>
        <v>9.1</v>
      </c>
      <c r="I16" s="10" t="n">
        <f aca="false">H16/C16</f>
        <v>0.35</v>
      </c>
      <c r="J16" s="11" t="n">
        <f aca="false">IF(I16&gt;=$H$5,3,IF(I16&gt;=$H$4,2,1))</f>
        <v>2</v>
      </c>
      <c r="K16" s="12" t="n">
        <f aca="false">IF(OR(D16="Controlled release",D16="Slowly available",D16="Slow release"),IF(N(F16)/C16&gt;=$H$5,3,IF(N(F16)/C16&gt;=$H$4,2,1)),1)</f>
        <v>2</v>
      </c>
      <c r="L16" s="13" t="s">
        <v>48</v>
      </c>
    </row>
    <row r="17" customFormat="false" ht="30" hidden="false" customHeight="true" outlineLevel="0" collapsed="false">
      <c r="A17" s="7" t="s">
        <v>49</v>
      </c>
      <c r="B17" s="7" t="s">
        <v>50</v>
      </c>
      <c r="C17" s="8" t="n">
        <v>18</v>
      </c>
      <c r="D17" s="7" t="s">
        <v>51</v>
      </c>
      <c r="E17" s="7" t="s">
        <v>21</v>
      </c>
      <c r="F17" s="8" t="n">
        <v>3.8</v>
      </c>
      <c r="G17" s="7"/>
      <c r="H17" s="9" t="n">
        <f aca="false">IF(E17="Polymer-coated urea",N(F17),IF(E17="Methylene urea",N(F17)+N(G17),0))</f>
        <v>3.8</v>
      </c>
      <c r="I17" s="10" t="n">
        <f aca="false">H17/C17</f>
        <v>0.211111111111111</v>
      </c>
      <c r="J17" s="11" t="n">
        <f aca="false">IF(I17&gt;=$H$5,3,IF(I17&gt;=$H$4,2,1))</f>
        <v>2</v>
      </c>
      <c r="K17" s="12" t="n">
        <f aca="false">IF(OR(D17="Controlled release",D17="Slowly available",D17="Slow release"),IF(N(F17)/C17&gt;=$H$5,3,IF(N(F17)/C17&gt;=$H$4,2,1)),1)</f>
        <v>2</v>
      </c>
      <c r="L17" s="13"/>
    </row>
    <row r="18" customFormat="false" ht="30" hidden="false" customHeight="true" outlineLevel="0" collapsed="false">
      <c r="A18" s="7" t="s">
        <v>52</v>
      </c>
      <c r="B18" s="7" t="s">
        <v>53</v>
      </c>
      <c r="C18" s="8" t="n">
        <v>24</v>
      </c>
      <c r="D18" s="7" t="s">
        <v>28</v>
      </c>
      <c r="E18" s="7" t="s">
        <v>44</v>
      </c>
      <c r="F18" s="8" t="n">
        <v>6.2</v>
      </c>
      <c r="G18" s="8" t="n">
        <v>0.6</v>
      </c>
      <c r="H18" s="9" t="n">
        <f aca="false">IF(E18="Polymer-coated urea",N(F18),IF(E18="Methylene urea",N(F18)+N(G18),0))</f>
        <v>6.8</v>
      </c>
      <c r="I18" s="10" t="n">
        <f aca="false">H18/C18</f>
        <v>0.283333333333333</v>
      </c>
      <c r="J18" s="11" t="n">
        <f aca="false">IF(I18&gt;=$H$5,3,IF(I18&gt;=$H$4,2,1))</f>
        <v>2</v>
      </c>
      <c r="K18" s="12" t="n">
        <f aca="false">IF(OR(D18="Controlled release",D18="Slowly available",D18="Slow release"),IF(N(F18)/C18&gt;=$H$5,3,IF(N(F18)/C18&gt;=$H$4,2,1)),1)</f>
        <v>2</v>
      </c>
      <c r="L18" s="13" t="s">
        <v>54</v>
      </c>
    </row>
    <row r="19" customFormat="false" ht="30" hidden="false" customHeight="true" outlineLevel="0" collapsed="false">
      <c r="A19" s="7" t="s">
        <v>55</v>
      </c>
      <c r="B19" s="7" t="s">
        <v>56</v>
      </c>
      <c r="C19" s="8" t="n">
        <v>40</v>
      </c>
      <c r="D19" s="7" t="s">
        <v>28</v>
      </c>
      <c r="E19" s="7" t="s">
        <v>21</v>
      </c>
      <c r="F19" s="8" t="n">
        <v>31.9</v>
      </c>
      <c r="G19" s="7"/>
      <c r="H19" s="9" t="n">
        <f aca="false">IF(E19="Polymer-coated urea",N(F19),IF(E19="Methylene urea",N(F19)+N(G19),0))</f>
        <v>31.9</v>
      </c>
      <c r="I19" s="10" t="n">
        <f aca="false">H19/C19</f>
        <v>0.7975</v>
      </c>
      <c r="J19" s="11" t="n">
        <f aca="false">IF(I19&gt;=$H$5,3,IF(I19&gt;=$H$4,2,1))</f>
        <v>3</v>
      </c>
      <c r="K19" s="12" t="n">
        <f aca="false">IF(OR(D19="Controlled release",D19="Slowly available",D19="Slow release"),IF(N(F19)/C19&gt;=$H$5,3,IF(N(F19)/C19&gt;=$H$4,2,1)),1)</f>
        <v>3</v>
      </c>
      <c r="L19" s="13" t="s">
        <v>57</v>
      </c>
    </row>
    <row r="20" customFormat="false" ht="30" hidden="false" customHeight="true" outlineLevel="0" collapsed="false">
      <c r="A20" s="7" t="s">
        <v>58</v>
      </c>
      <c r="B20" s="7" t="s">
        <v>59</v>
      </c>
      <c r="C20" s="8" t="n">
        <v>21</v>
      </c>
      <c r="D20" s="7" t="s">
        <v>28</v>
      </c>
      <c r="E20" s="7" t="s">
        <v>44</v>
      </c>
      <c r="F20" s="8" t="n">
        <v>5.6</v>
      </c>
      <c r="G20" s="8" t="n">
        <v>0.6</v>
      </c>
      <c r="H20" s="9" t="n">
        <f aca="false">IF(E20="Polymer-coated urea",N(F20),IF(E20="Methylene urea",N(F20)+N(G20),0))</f>
        <v>6.2</v>
      </c>
      <c r="I20" s="10" t="n">
        <f aca="false">H20/C20</f>
        <v>0.295238095238095</v>
      </c>
      <c r="J20" s="11" t="n">
        <f aca="false">IF(I20&gt;=$H$5,3,IF(I20&gt;=$H$4,2,1))</f>
        <v>2</v>
      </c>
      <c r="K20" s="12" t="n">
        <f aca="false">IF(OR(D20="Controlled release",D20="Slowly available",D20="Slow release"),IF(N(F20)/C20&gt;=$H$5,3,IF(N(F20)/C20&gt;=$H$4,2,1)),1)</f>
        <v>2</v>
      </c>
      <c r="L20" s="13" t="s">
        <v>60</v>
      </c>
    </row>
    <row r="21" customFormat="false" ht="30" hidden="false" customHeight="true" outlineLevel="0" collapsed="false">
      <c r="A21" s="7" t="s">
        <v>61</v>
      </c>
      <c r="B21" s="7" t="s">
        <v>62</v>
      </c>
      <c r="C21" s="8" t="n">
        <v>30</v>
      </c>
      <c r="D21" s="7" t="s">
        <v>20</v>
      </c>
      <c r="E21" s="7" t="s">
        <v>21</v>
      </c>
      <c r="F21" s="8" t="n">
        <v>10</v>
      </c>
      <c r="G21" s="7"/>
      <c r="H21" s="9" t="n">
        <f aca="false">IF(E21="Polymer-coated urea",N(F21),IF(E21="Methylene urea",N(F21)+N(G21),0))</f>
        <v>10</v>
      </c>
      <c r="I21" s="10" t="n">
        <f aca="false">H21/C21</f>
        <v>0.333333333333333</v>
      </c>
      <c r="J21" s="11" t="n">
        <f aca="false">IF(I21&gt;=$H$5,3,IF(I21&gt;=$H$4,2,1))</f>
        <v>2</v>
      </c>
      <c r="K21" s="12" t="n">
        <f aca="false">IF(OR(D21="Controlled release",D21="Slowly available",D21="Slow release"),IF(N(F21)/C21&gt;=$H$5,3,IF(N(F21)/C21&gt;=$H$4,2,1)),1)</f>
        <v>2</v>
      </c>
      <c r="L21" s="13"/>
    </row>
    <row r="22" customFormat="false" ht="30" hidden="false" customHeight="true" outlineLevel="0" collapsed="false">
      <c r="A22" s="7" t="s">
        <v>63</v>
      </c>
      <c r="B22" s="7" t="s">
        <v>53</v>
      </c>
      <c r="C22" s="8" t="n">
        <v>24</v>
      </c>
      <c r="D22" s="7" t="s">
        <v>20</v>
      </c>
      <c r="E22" s="7" t="s">
        <v>21</v>
      </c>
      <c r="F22" s="8" t="n">
        <v>6.25</v>
      </c>
      <c r="G22" s="7"/>
      <c r="H22" s="9" t="n">
        <f aca="false">IF(E22="Polymer-coated urea",N(F22),IF(E22="Methylene urea",N(F22)+N(G22),0))</f>
        <v>6.25</v>
      </c>
      <c r="I22" s="10" t="n">
        <f aca="false">H22/C22</f>
        <v>0.260416666666667</v>
      </c>
      <c r="J22" s="11" t="n">
        <f aca="false">IF(I22&gt;=$H$5,3,IF(I22&gt;=$H$4,2,1))</f>
        <v>2</v>
      </c>
      <c r="K22" s="12" t="n">
        <f aca="false">IF(OR(D22="Controlled release",D22="Slowly available",D22="Slow release"),IF(N(F22)/C22&gt;=$H$5,3,IF(N(F22)/C22&gt;=$H$4,2,1)),1)</f>
        <v>2</v>
      </c>
      <c r="L22" s="13"/>
    </row>
    <row r="23" customFormat="false" ht="30" hidden="false" customHeight="true" outlineLevel="0" collapsed="false">
      <c r="A23" s="7" t="s">
        <v>64</v>
      </c>
      <c r="B23" s="7" t="s">
        <v>65</v>
      </c>
      <c r="C23" s="8" t="n">
        <v>18</v>
      </c>
      <c r="D23" s="7" t="s">
        <v>28</v>
      </c>
      <c r="E23" s="7" t="s">
        <v>21</v>
      </c>
      <c r="F23" s="8" t="n">
        <v>7.2</v>
      </c>
      <c r="G23" s="7"/>
      <c r="H23" s="9" t="n">
        <f aca="false">IF(E23="Polymer-coated urea",N(F23),IF(E23="Methylene urea",N(F23)+N(G23),0))</f>
        <v>7.2</v>
      </c>
      <c r="I23" s="10" t="n">
        <f aca="false">H23/C23</f>
        <v>0.4</v>
      </c>
      <c r="J23" s="11" t="n">
        <f aca="false">IF(I23&gt;=$H$5,3,IF(I23&gt;=$H$4,2,1))</f>
        <v>2</v>
      </c>
      <c r="K23" s="12" t="n">
        <f aca="false">IF(OR(D23="Controlled release",D23="Slowly available",D23="Slow release"),IF(N(F23)/C23&gt;=$H$5,3,IF(N(F23)/C23&gt;=$H$4,2,1)),1)</f>
        <v>2</v>
      </c>
      <c r="L23" s="13" t="s">
        <v>66</v>
      </c>
    </row>
    <row r="24" customFormat="false" ht="30" hidden="false" customHeight="true" outlineLevel="0" collapsed="false">
      <c r="A24" s="7" t="s">
        <v>64</v>
      </c>
      <c r="B24" s="7" t="s">
        <v>67</v>
      </c>
      <c r="C24" s="8" t="n">
        <v>18</v>
      </c>
      <c r="D24" s="7" t="s">
        <v>28</v>
      </c>
      <c r="E24" s="7" t="s">
        <v>21</v>
      </c>
      <c r="F24" s="8" t="n">
        <v>4.5</v>
      </c>
      <c r="G24" s="7"/>
      <c r="H24" s="9" t="n">
        <f aca="false">IF(E24="Polymer-coated urea",N(F24),IF(E24="Methylene urea",N(F24)+N(G24),0))</f>
        <v>4.5</v>
      </c>
      <c r="I24" s="10" t="n">
        <f aca="false">H24/C24</f>
        <v>0.25</v>
      </c>
      <c r="J24" s="11" t="n">
        <f aca="false">IF(I24&gt;=$H$5,3,IF(I24&gt;=$H$4,2,1))</f>
        <v>2</v>
      </c>
      <c r="K24" s="12" t="n">
        <f aca="false">IF(OR(D24="Controlled release",D24="Slowly available",D24="Slow release"),IF(N(F24)/C24&gt;=$H$5,3,IF(N(F24)/C24&gt;=$H$4,2,1)),1)</f>
        <v>2</v>
      </c>
      <c r="L24" s="13" t="s">
        <v>66</v>
      </c>
    </row>
    <row r="25" customFormat="false" ht="30" hidden="false" customHeight="true" outlineLevel="0" collapsed="false">
      <c r="A25" s="7" t="s">
        <v>64</v>
      </c>
      <c r="B25" s="7" t="s">
        <v>43</v>
      </c>
      <c r="C25" s="8" t="n">
        <v>32</v>
      </c>
      <c r="D25" s="7" t="s">
        <v>51</v>
      </c>
      <c r="E25" s="7" t="s">
        <v>21</v>
      </c>
      <c r="F25" s="8" t="n">
        <v>32</v>
      </c>
      <c r="G25" s="7"/>
      <c r="H25" s="9" t="n">
        <f aca="false">IF(E25="Polymer-coated urea",N(F25),IF(E25="Methylene urea",N(F25)+N(G25),0))</f>
        <v>32</v>
      </c>
      <c r="I25" s="10" t="n">
        <f aca="false">H25/C25</f>
        <v>1</v>
      </c>
      <c r="J25" s="11" t="n">
        <f aca="false">IF(I25&gt;=$H$5,3,IF(I25&gt;=$H$4,2,1))</f>
        <v>3</v>
      </c>
      <c r="K25" s="12" t="n">
        <f aca="false">IF(OR(D25="Controlled release",D25="Slowly available",D25="Slow release"),IF(N(F25)/C25&gt;=$H$5,3,IF(N(F25)/C25&gt;=$H$4,2,1)),1)</f>
        <v>3</v>
      </c>
      <c r="L25" s="13" t="s">
        <v>68</v>
      </c>
    </row>
    <row r="26" customFormat="false" ht="30" hidden="false" customHeight="true" outlineLevel="0" collapsed="false">
      <c r="A26" s="7" t="s">
        <v>64</v>
      </c>
      <c r="B26" s="7" t="s">
        <v>69</v>
      </c>
      <c r="C26" s="8" t="n">
        <v>14</v>
      </c>
      <c r="D26" s="7" t="s">
        <v>28</v>
      </c>
      <c r="E26" s="7" t="s">
        <v>21</v>
      </c>
      <c r="F26" s="8" t="n">
        <v>8.52</v>
      </c>
      <c r="G26" s="7"/>
      <c r="H26" s="9" t="n">
        <f aca="false">IF(E26="Polymer-coated urea",N(F26),IF(E26="Methylene urea",N(F26)+N(G26),0))</f>
        <v>8.52</v>
      </c>
      <c r="I26" s="10" t="n">
        <f aca="false">H26/C26</f>
        <v>0.608571428571429</v>
      </c>
      <c r="J26" s="11" t="n">
        <f aca="false">IF(I26&gt;=$H$5,3,IF(I26&gt;=$H$4,2,1))</f>
        <v>3</v>
      </c>
      <c r="K26" s="12" t="n">
        <f aca="false">IF(OR(D26="Controlled release",D26="Slowly available",D26="Slow release"),IF(N(F26)/C26&gt;=$H$5,3,IF(N(F26)/C26&gt;=$H$4,2,1)),1)</f>
        <v>3</v>
      </c>
      <c r="L26" s="13" t="s">
        <v>66</v>
      </c>
    </row>
    <row r="27" customFormat="false" ht="15" hidden="false" customHeight="true" outlineLevel="0" collapsed="false"/>
    <row r="28" customFormat="false" ht="15" hidden="false" customHeight="true" outlineLevel="0" collapsed="false">
      <c r="A28" s="14" t="s">
        <v>70</v>
      </c>
    </row>
    <row r="29" customFormat="false" ht="15" hidden="false" customHeight="true" outlineLevel="0" collapsed="false">
      <c r="A29" s="4" t="s">
        <v>71</v>
      </c>
      <c r="H29" s="14" t="n">
        <f aca="false">COUNTIF(J8:J26,1)</f>
        <v>5</v>
      </c>
    </row>
    <row r="30" customFormat="false" ht="45.75" hidden="false" customHeight="true" outlineLevel="0" collapsed="false">
      <c r="A30" s="4" t="s">
        <v>72</v>
      </c>
      <c r="H30" s="14" t="n">
        <f aca="false">COUNTIF(J8:J26,2)</f>
        <v>11</v>
      </c>
    </row>
    <row r="31" customFormat="false" ht="30" hidden="false" customHeight="true" outlineLevel="0" collapsed="false">
      <c r="A31" s="4" t="s">
        <v>73</v>
      </c>
      <c r="H31" s="14" t="n">
        <f aca="false">COUNTIF(J8:J26,3)</f>
        <v>3</v>
      </c>
    </row>
    <row r="32" customFormat="false" ht="30" hidden="false" customHeight="true" outlineLevel="0" collapsed="false">
      <c r="A32" s="4" t="s">
        <v>74</v>
      </c>
      <c r="H32" s="14" t="n">
        <f aca="false">SUMPRODUCT(--(K8:K26&lt;&gt;J8:J26))</f>
        <v>1</v>
      </c>
    </row>
    <row r="33" customFormat="false" ht="30" hidden="false" customHeight="true" outlineLevel="0" collapsed="false"/>
    <row r="34" customFormat="false" ht="30" hidden="false" customHeight="true" outlineLevel="0" collapsed="false">
      <c r="A34" s="15" t="s">
        <v>75</v>
      </c>
    </row>
    <row r="35" customFormat="false" ht="30" hidden="false" customHeight="true" outlineLevel="0" collapsed="false">
      <c r="A35" s="16" t="s">
        <v>76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customFormat="false" ht="43.5" hidden="false" customHeight="true" outlineLevel="0" collapsed="false">
      <c r="A36" s="16" t="s">
        <v>77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customFormat="false" ht="15" hidden="false" customHeight="true" outlineLevel="0" collapsed="false">
      <c r="A37" s="16" t="s">
        <v>78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customFormat="false" ht="15" hidden="false" customHeight="true" outlineLevel="0" collapsed="false">
      <c r="A38" s="16" t="s">
        <v>79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customFormat="false" ht="15" hidden="false" customHeight="true" outlineLevel="0" collapsed="false">
      <c r="A39" s="16" t="s">
        <v>80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customFormat="false" ht="15" hidden="false" customHeight="true" outlineLevel="0" collapsed="false">
      <c r="A40" s="16" t="s">
        <v>81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</sheetData>
  <mergeCells count="6">
    <mergeCell ref="A35:L35"/>
    <mergeCell ref="A36:L36"/>
    <mergeCell ref="A37:L37"/>
    <mergeCell ref="A38:L38"/>
    <mergeCell ref="A39:L39"/>
    <mergeCell ref="A40:L40"/>
  </mergeCells>
  <conditionalFormatting sqref="K8:K26">
    <cfRule type="expression" priority="2" aboveAverage="0" equalAverage="0" bottom="0" percent="0" rank="0" text="" dxfId="0">
      <formula>K8&lt;&gt;J8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16.15" hidden="false" customHeight="false" outlineLevel="0" collapsed="false">
      <c r="A1" s="17" t="s">
        <v>82</v>
      </c>
    </row>
    <row r="2" customFormat="false" ht="15" hidden="false" customHeight="false" outlineLevel="0" collapsed="false">
      <c r="A2" s="18" t="s">
        <v>83</v>
      </c>
    </row>
    <row r="4" customFormat="false" ht="48" hidden="false" customHeight="true" outlineLevel="0" collapsed="false">
      <c r="A4" s="19" t="s">
        <v>6</v>
      </c>
      <c r="B4" s="19" t="s">
        <v>84</v>
      </c>
      <c r="C4" s="19" t="s">
        <v>85</v>
      </c>
      <c r="D4" s="19" t="s">
        <v>86</v>
      </c>
      <c r="E4" s="19" t="s">
        <v>87</v>
      </c>
      <c r="F4" s="19" t="s">
        <v>88</v>
      </c>
      <c r="G4" s="19" t="s">
        <v>89</v>
      </c>
      <c r="H4" s="19" t="s">
        <v>90</v>
      </c>
      <c r="I4" s="19" t="s">
        <v>91</v>
      </c>
      <c r="J4" s="19" t="s">
        <v>92</v>
      </c>
    </row>
    <row r="5" customFormat="false" ht="15" hidden="false" customHeight="false" outlineLevel="0" collapsed="false">
      <c r="A5" s="20" t="str">
        <f aca="false">'19 bags'!A15</f>
        <v>IMG_8571</v>
      </c>
      <c r="B5" s="20" t="str">
        <f aca="false">'19 bags'!B15</f>
        <v>32-0-10</v>
      </c>
      <c r="C5" s="21" t="n">
        <f aca="false">'19 bags'!C15</f>
        <v>32</v>
      </c>
      <c r="D5" s="21" t="n">
        <f aca="false">'19 bags'!G15</f>
        <v>0.5</v>
      </c>
      <c r="E5" s="21" t="n">
        <f aca="false">'19 bags'!F15</f>
        <v>6.8</v>
      </c>
      <c r="F5" s="22" t="n">
        <f aca="false">D5+E5</f>
        <v>7.3</v>
      </c>
      <c r="G5" s="23" t="n">
        <f aca="false">F5/C5</f>
        <v>0.228125</v>
      </c>
      <c r="H5" s="24" t="n">
        <f aca="false">IF(G5&gt;=0.5,3,IF(G5&gt;=0.15,2,1))</f>
        <v>2</v>
      </c>
      <c r="I5" s="23" t="n">
        <f aca="false">D5/C5</f>
        <v>0.015625</v>
      </c>
      <c r="J5" s="24" t="n">
        <f aca="false">IF(I5&gt;=0.5,3,IF(I5&gt;=0.15,2,1))</f>
        <v>1</v>
      </c>
    </row>
    <row r="6" customFormat="false" ht="15" hidden="false" customHeight="false" outlineLevel="0" collapsed="false">
      <c r="A6" s="20" t="str">
        <f aca="false">'19 bags'!A16</f>
        <v>IMG_8572</v>
      </c>
      <c r="B6" s="20" t="str">
        <f aca="false">'19 bags'!B16</f>
        <v>26-0-2</v>
      </c>
      <c r="C6" s="21" t="n">
        <f aca="false">'19 bags'!C16</f>
        <v>26</v>
      </c>
      <c r="D6" s="21" t="n">
        <f aca="false">'19 bags'!G16</f>
        <v>0.9</v>
      </c>
      <c r="E6" s="21" t="n">
        <f aca="false">'19 bags'!F16</f>
        <v>8.2</v>
      </c>
      <c r="F6" s="22" t="n">
        <f aca="false">D6+E6</f>
        <v>9.1</v>
      </c>
      <c r="G6" s="23" t="n">
        <f aca="false">F6/C6</f>
        <v>0.35</v>
      </c>
      <c r="H6" s="24" t="n">
        <f aca="false">IF(G6&gt;=0.5,3,IF(G6&gt;=0.15,2,1))</f>
        <v>2</v>
      </c>
      <c r="I6" s="23" t="n">
        <f aca="false">D6/C6</f>
        <v>0.0346153846153846</v>
      </c>
      <c r="J6" s="24" t="n">
        <f aca="false">IF(I6&gt;=0.5,3,IF(I6&gt;=0.15,2,1))</f>
        <v>1</v>
      </c>
    </row>
    <row r="7" customFormat="false" ht="15" hidden="false" customHeight="false" outlineLevel="0" collapsed="false">
      <c r="A7" s="20" t="str">
        <f aca="false">'19 bags'!A18</f>
        <v>IMG_8580</v>
      </c>
      <c r="B7" s="20" t="str">
        <f aca="false">'19 bags'!B18</f>
        <v>24-25-4</v>
      </c>
      <c r="C7" s="21" t="n">
        <f aca="false">'19 bags'!C18</f>
        <v>24</v>
      </c>
      <c r="D7" s="21" t="n">
        <f aca="false">'19 bags'!G18</f>
        <v>0.6</v>
      </c>
      <c r="E7" s="21" t="n">
        <f aca="false">'19 bags'!F18</f>
        <v>6.2</v>
      </c>
      <c r="F7" s="22" t="n">
        <f aca="false">D7+E7</f>
        <v>6.8</v>
      </c>
      <c r="G7" s="23" t="n">
        <f aca="false">F7/C7</f>
        <v>0.283333333333333</v>
      </c>
      <c r="H7" s="24" t="n">
        <f aca="false">IF(G7&gt;=0.5,3,IF(G7&gt;=0.15,2,1))</f>
        <v>2</v>
      </c>
      <c r="I7" s="23" t="n">
        <f aca="false">D7/C7</f>
        <v>0.025</v>
      </c>
      <c r="J7" s="24" t="n">
        <f aca="false">IF(I7&gt;=0.5,3,IF(I7&gt;=0.15,2,1))</f>
        <v>1</v>
      </c>
    </row>
    <row r="8" customFormat="false" ht="15" hidden="false" customHeight="false" outlineLevel="0" collapsed="false">
      <c r="A8" s="20" t="str">
        <f aca="false">'19 bags'!A20</f>
        <v>IMG_8590</v>
      </c>
      <c r="B8" s="20" t="str">
        <f aca="false">'19 bags'!B20</f>
        <v>21-22-4</v>
      </c>
      <c r="C8" s="21" t="n">
        <f aca="false">'19 bags'!C20</f>
        <v>21</v>
      </c>
      <c r="D8" s="21" t="n">
        <f aca="false">'19 bags'!G20</f>
        <v>0.6</v>
      </c>
      <c r="E8" s="21" t="n">
        <f aca="false">'19 bags'!F20</f>
        <v>5.6</v>
      </c>
      <c r="F8" s="22" t="n">
        <f aca="false">D8+E8</f>
        <v>6.2</v>
      </c>
      <c r="G8" s="23" t="n">
        <f aca="false">F8/C8</f>
        <v>0.295238095238095</v>
      </c>
      <c r="H8" s="24" t="n">
        <f aca="false">IF(G8&gt;=0.5,3,IF(G8&gt;=0.15,2,1))</f>
        <v>2</v>
      </c>
      <c r="I8" s="23" t="n">
        <f aca="false">D8/C8</f>
        <v>0.0285714285714286</v>
      </c>
      <c r="J8" s="24" t="n">
        <f aca="false">IF(I8&gt;=0.5,3,IF(I8&gt;=0.15,2,1))</f>
        <v>1</v>
      </c>
    </row>
    <row r="10" customFormat="false" ht="15" hidden="false" customHeight="false" outlineLevel="0" collapsed="false">
      <c r="A10" s="25" t="s">
        <v>93</v>
      </c>
    </row>
    <row r="11" customFormat="false" ht="15" hidden="false" customHeight="false" outlineLevel="0" collapsed="false">
      <c r="A11" s="24" t="s">
        <v>94</v>
      </c>
      <c r="B11" s="24"/>
      <c r="C11" s="26" t="n">
        <v>32</v>
      </c>
      <c r="D11" s="26" t="n">
        <v>5.6</v>
      </c>
      <c r="E11" s="26" t="n">
        <v>5.7</v>
      </c>
      <c r="F11" s="24" t="n">
        <f aca="false">D11+E11</f>
        <v>11.3</v>
      </c>
      <c r="G11" s="23" t="n">
        <f aca="false">F11/C11</f>
        <v>0.353125</v>
      </c>
      <c r="H11" s="24" t="n">
        <f aca="false">IF(G11&gt;=0.5,3,IF(G11&gt;=0.15,2,1))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0"/>
    <col collapsed="false" customWidth="true" hidden="false" outlineLevel="0" max="2" min="2" style="1" width="70"/>
    <col collapsed="false" customWidth="true" hidden="false" outlineLevel="0" max="3" min="3" style="1" width="32"/>
  </cols>
  <sheetData>
    <row r="1" customFormat="false" ht="17.25" hidden="false" customHeight="true" outlineLevel="0" collapsed="false">
      <c r="A1" s="2" t="s">
        <v>95</v>
      </c>
    </row>
    <row r="3" customFormat="false" ht="15" hidden="false" customHeight="true" outlineLevel="0" collapsed="false">
      <c r="A3" s="6" t="s">
        <v>96</v>
      </c>
      <c r="B3" s="6" t="s">
        <v>97</v>
      </c>
      <c r="C3" s="6" t="s">
        <v>98</v>
      </c>
    </row>
    <row r="4" customFormat="false" ht="60" hidden="false" customHeight="true" outlineLevel="0" collapsed="false">
      <c r="A4" s="27" t="s">
        <v>99</v>
      </c>
      <c r="B4" s="27" t="s">
        <v>100</v>
      </c>
      <c r="C4" s="27" t="s">
        <v>101</v>
      </c>
    </row>
    <row r="5" customFormat="false" ht="60" hidden="false" customHeight="true" outlineLevel="0" collapsed="false">
      <c r="A5" s="27" t="s">
        <v>102</v>
      </c>
      <c r="B5" s="27" t="s">
        <v>103</v>
      </c>
      <c r="C5" s="27" t="s">
        <v>104</v>
      </c>
    </row>
    <row r="6" customFormat="false" ht="60" hidden="false" customHeight="true" outlineLevel="0" collapsed="false">
      <c r="A6" s="27" t="s">
        <v>105</v>
      </c>
      <c r="B6" s="27" t="s">
        <v>106</v>
      </c>
      <c r="C6" s="27" t="s">
        <v>104</v>
      </c>
    </row>
    <row r="7" customFormat="false" ht="60" hidden="false" customHeight="true" outlineLevel="0" collapsed="false">
      <c r="A7" s="27" t="s">
        <v>107</v>
      </c>
      <c r="B7" s="27" t="s">
        <v>108</v>
      </c>
      <c r="C7" s="27" t="s">
        <v>109</v>
      </c>
    </row>
    <row r="8" customFormat="false" ht="34.5" hidden="false" customHeight="true" outlineLevel="0" collapsed="false">
      <c r="A8" s="27" t="s">
        <v>110</v>
      </c>
      <c r="B8" s="27" t="s">
        <v>111</v>
      </c>
      <c r="C8" s="27" t="s">
        <v>112</v>
      </c>
    </row>
    <row r="9" customFormat="false" ht="23.25" hidden="false" customHeight="true" outlineLevel="0" collapsed="false">
      <c r="A9" s="27" t="s">
        <v>113</v>
      </c>
      <c r="B9" s="27" t="s">
        <v>114</v>
      </c>
      <c r="C9" s="27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3" min="2" style="1" width="13"/>
    <col collapsed="false" customWidth="true" hidden="false" outlineLevel="0" max="5" min="4" style="1" width="16"/>
    <col collapsed="false" customWidth="true" hidden="false" outlineLevel="0" max="6" min="6" style="1" width="13"/>
    <col collapsed="false" customWidth="true" hidden="false" outlineLevel="0" max="7" min="7" style="1" width="10"/>
    <col collapsed="false" customWidth="true" hidden="false" outlineLevel="0" max="8" min="8" style="1" width="20"/>
  </cols>
  <sheetData>
    <row r="1" customFormat="false" ht="17.25" hidden="false" customHeight="true" outlineLevel="0" collapsed="false">
      <c r="A1" s="2" t="s">
        <v>116</v>
      </c>
    </row>
    <row r="3" customFormat="false" ht="48" hidden="false" customHeight="true" outlineLevel="0" collapsed="false">
      <c r="A3" s="28" t="s">
        <v>117</v>
      </c>
      <c r="B3" s="28" t="s">
        <v>85</v>
      </c>
      <c r="C3" s="28" t="s">
        <v>86</v>
      </c>
      <c r="D3" s="28" t="s">
        <v>118</v>
      </c>
      <c r="E3" s="28" t="s">
        <v>119</v>
      </c>
      <c r="F3" s="28" t="s">
        <v>120</v>
      </c>
      <c r="G3" s="28" t="s">
        <v>90</v>
      </c>
      <c r="H3" s="28" t="s">
        <v>121</v>
      </c>
    </row>
    <row r="4" customFormat="false" ht="15" hidden="false" customHeight="true" outlineLevel="0" collapsed="false">
      <c r="A4" s="29" t="s">
        <v>122</v>
      </c>
      <c r="B4" s="30" t="n">
        <v>32</v>
      </c>
      <c r="C4" s="30" t="n">
        <v>5.6</v>
      </c>
      <c r="D4" s="30" t="n">
        <v>5.7</v>
      </c>
      <c r="E4" s="31" t="n">
        <f aca="false">C4+D4</f>
        <v>11.3</v>
      </c>
      <c r="F4" s="32" t="n">
        <f aca="false">E4/B4</f>
        <v>0.353125</v>
      </c>
      <c r="G4" s="33" t="n">
        <f aca="false">IF(F4&gt;='19 bags'!$H$5,3,IF(F4&gt;='19 bags'!$H$4,2,1))</f>
        <v>2</v>
      </c>
      <c r="H4" s="31" t="n">
        <f aca="false">IF(F4&gt;='19 bags'!$H$5,1.5,1)</f>
        <v>1</v>
      </c>
    </row>
    <row r="5" customFormat="false" ht="15" hidden="false" customHeight="true" outlineLevel="0" collapsed="false">
      <c r="A5" s="29" t="s">
        <v>123</v>
      </c>
      <c r="B5" s="30" t="n">
        <v>18</v>
      </c>
      <c r="C5" s="30" t="n">
        <v>0</v>
      </c>
      <c r="D5" s="30" t="n">
        <v>9</v>
      </c>
      <c r="E5" s="31" t="n">
        <f aca="false">C5+D5</f>
        <v>9</v>
      </c>
      <c r="F5" s="32" t="n">
        <f aca="false">E5/B5</f>
        <v>0.5</v>
      </c>
      <c r="G5" s="33" t="n">
        <f aca="false">IF(F5&gt;='19 bags'!$H$5,3,IF(F5&gt;='19 bags'!$H$4,2,1))</f>
        <v>3</v>
      </c>
      <c r="H5" s="31" t="n">
        <f aca="false">IF(F5&gt;='19 bags'!$H$5,1.5,1)</f>
        <v>1.5</v>
      </c>
    </row>
    <row r="7" customFormat="false" ht="57.75" hidden="false" customHeight="true" outlineLevel="0" collapsed="false">
      <c r="A7" s="34" t="s">
        <v>124</v>
      </c>
      <c r="B7" s="34"/>
      <c r="C7" s="34"/>
      <c r="D7" s="34"/>
      <c r="E7" s="34"/>
      <c r="F7" s="34"/>
      <c r="G7" s="34"/>
      <c r="H7" s="34"/>
    </row>
  </sheetData>
  <mergeCells count="1">
    <mergeCell ref="A7:H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2026-10-06T19:04:41Z</dcterms:created>
  <dc:creator>openpyxl</dc:creator>
  <dc:description/>
  <dc:language>en-US</dc:language>
  <cp:lastModifiedBy/>
  <dcterms:modified xsi:type="dcterms:W3CDTF">2026-10-07T19:05:05Z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